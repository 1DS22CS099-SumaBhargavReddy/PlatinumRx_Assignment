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.Bhargav Reddy\Desktop\Data_Analyst_Assignment\Spreadsheets\"/>
    </mc:Choice>
  </mc:AlternateContent>
  <xr:revisionPtr revIDLastSave="0" documentId="13_ncr:1_{409F7D96-3036-43F4-8B79-A0EBA0FB3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6" i="2"/>
  <c r="D5" i="2"/>
  <c r="D4" i="2"/>
  <c r="D3" i="2"/>
  <c r="G9" i="1"/>
  <c r="F9" i="1"/>
  <c r="G8" i="1"/>
  <c r="F8" i="1"/>
  <c r="G7" i="1"/>
  <c r="F7" i="1"/>
  <c r="G6" i="1"/>
  <c r="F6" i="1"/>
  <c r="G5" i="1"/>
  <c r="C14" i="1" s="1"/>
  <c r="F5" i="1"/>
  <c r="G4" i="1"/>
  <c r="F4" i="1"/>
  <c r="G3" i="1"/>
  <c r="C13" i="1" s="1"/>
  <c r="F3" i="1"/>
  <c r="G2" i="1"/>
  <c r="F2" i="1"/>
  <c r="B14" i="1"/>
  <c r="B12" i="1"/>
  <c r="D14" i="1"/>
  <c r="B13" i="1"/>
  <c r="C12" i="1"/>
  <c r="D12" i="1"/>
  <c r="D13" i="1"/>
</calcChain>
</file>

<file path=xl/sharedStrings.xml><?xml version="1.0" encoding="utf-8"?>
<sst xmlns="http://schemas.openxmlformats.org/spreadsheetml/2006/main" count="67" uniqueCount="52">
  <si>
    <t>ticket_id</t>
  </si>
  <si>
    <t>created_at</t>
  </si>
  <si>
    <t>closed_at</t>
  </si>
  <si>
    <t>outlet_id</t>
  </si>
  <si>
    <t>cms_id</t>
  </si>
  <si>
    <t>Same Day?</t>
  </si>
  <si>
    <t>Same Hour?</t>
  </si>
  <si>
    <t>tkt-001</t>
  </si>
  <si>
    <t>2021-08-19 10:15:00</t>
  </si>
  <si>
    <t>2021-08-19 12:30:00</t>
  </si>
  <si>
    <t>outlet-1</t>
  </si>
  <si>
    <t>cms-001</t>
  </si>
  <si>
    <t>tkt-002</t>
  </si>
  <si>
    <t>2021-08-19 14:00:00</t>
  </si>
  <si>
    <t>2021-08-20 09:00:00</t>
  </si>
  <si>
    <t>outlet-2</t>
  </si>
  <si>
    <t>cms-002</t>
  </si>
  <si>
    <t>tkt-003</t>
  </si>
  <si>
    <t>2021-08-20 11:00:00</t>
  </si>
  <si>
    <t>2021-08-20 11:45:00</t>
  </si>
  <si>
    <t>cms-003</t>
  </si>
  <si>
    <t>tkt-004</t>
  </si>
  <si>
    <t>2021-08-20 13:20:00</t>
  </si>
  <si>
    <t>2021-08-20 15:00:00</t>
  </si>
  <si>
    <t>outlet-3</t>
  </si>
  <si>
    <t>cms-004</t>
  </si>
  <si>
    <t>tkt-005</t>
  </si>
  <si>
    <t>2021-08-21 09:00:00</t>
  </si>
  <si>
    <t>2021-08-21 09:30:00</t>
  </si>
  <si>
    <t>cms-005</t>
  </si>
  <si>
    <t>tkt-006</t>
  </si>
  <si>
    <t>2021-08-21 10:00:00</t>
  </si>
  <si>
    <t>2021-08-21 14:00:00</t>
  </si>
  <si>
    <t>cms-006</t>
  </si>
  <si>
    <t>tkt-007</t>
  </si>
  <si>
    <t>2021-08-22 08:00:00</t>
  </si>
  <si>
    <t>2021-08-22 08:45:00</t>
  </si>
  <si>
    <t>cms-007</t>
  </si>
  <si>
    <t>tkt-008</t>
  </si>
  <si>
    <t>2021-08-22 11:30:00</t>
  </si>
  <si>
    <t>2021-08-23 10:00:00</t>
  </si>
  <si>
    <t>cms-008</t>
  </si>
  <si>
    <t>Outlet</t>
  </si>
  <si>
    <t>Same Day Count</t>
  </si>
  <si>
    <t>Same Hour Count</t>
  </si>
  <si>
    <t>feedback_at</t>
  </si>
  <si>
    <t>feedback_rating</t>
  </si>
  <si>
    <t>ticket_created_at</t>
  </si>
  <si>
    <t>2021-08-19 13:00:00</t>
  </si>
  <si>
    <t>2021-08-20 10:00:00</t>
  </si>
  <si>
    <t>2021-08-20 12:00:00</t>
  </si>
  <si>
    <t>2021-08-20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</si>
</sst>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9" sqref="G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f t="shared" ref="F2:F9" si="0">INT(B2)=INT(C2)</f>
        <v>1</v>
      </c>
      <c r="G2" t="b">
        <f t="shared" ref="G2:G9" si="1">TEXT(B2,"yyyy-mm-dd hh")=TEXT(C2,"yyyy-mm-dd hh")</f>
        <v>0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b">
        <f t="shared" si="0"/>
        <v>0</v>
      </c>
      <c r="G3" t="b">
        <f t="shared" si="1"/>
        <v>0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b">
        <f t="shared" si="0"/>
        <v>1</v>
      </c>
      <c r="G4" t="b">
        <f t="shared" si="1"/>
        <v>1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b">
        <f t="shared" si="0"/>
        <v>1</v>
      </c>
      <c r="G5" t="b">
        <f t="shared" si="1"/>
        <v>0</v>
      </c>
    </row>
    <row r="6" spans="1:7" x14ac:dyDescent="0.3">
      <c r="A6" t="s">
        <v>26</v>
      </c>
      <c r="B6" t="s">
        <v>27</v>
      </c>
      <c r="C6" t="s">
        <v>28</v>
      </c>
      <c r="D6" t="s">
        <v>15</v>
      </c>
      <c r="E6" t="s">
        <v>29</v>
      </c>
      <c r="F6" t="b">
        <f t="shared" si="0"/>
        <v>1</v>
      </c>
      <c r="G6" t="b">
        <f t="shared" si="1"/>
        <v>1</v>
      </c>
    </row>
    <row r="7" spans="1:7" x14ac:dyDescent="0.3">
      <c r="A7" t="s">
        <v>30</v>
      </c>
      <c r="B7" t="s">
        <v>31</v>
      </c>
      <c r="C7" t="s">
        <v>32</v>
      </c>
      <c r="D7" t="s">
        <v>10</v>
      </c>
      <c r="E7" t="s">
        <v>33</v>
      </c>
      <c r="F7" t="b">
        <f t="shared" si="0"/>
        <v>1</v>
      </c>
      <c r="G7" t="b">
        <f t="shared" si="1"/>
        <v>0</v>
      </c>
    </row>
    <row r="8" spans="1:7" x14ac:dyDescent="0.3">
      <c r="A8" t="s">
        <v>34</v>
      </c>
      <c r="B8" t="s">
        <v>35</v>
      </c>
      <c r="C8" t="s">
        <v>36</v>
      </c>
      <c r="D8" t="s">
        <v>24</v>
      </c>
      <c r="E8" t="s">
        <v>37</v>
      </c>
      <c r="F8" t="b">
        <f t="shared" si="0"/>
        <v>1</v>
      </c>
      <c r="G8" t="b">
        <f t="shared" si="1"/>
        <v>1</v>
      </c>
    </row>
    <row r="9" spans="1:7" x14ac:dyDescent="0.3">
      <c r="A9" t="s">
        <v>38</v>
      </c>
      <c r="B9" t="s">
        <v>39</v>
      </c>
      <c r="C9" t="s">
        <v>40</v>
      </c>
      <c r="D9" t="s">
        <v>15</v>
      </c>
      <c r="E9" t="s">
        <v>41</v>
      </c>
      <c r="F9" t="b">
        <f t="shared" si="0"/>
        <v>0</v>
      </c>
      <c r="G9" t="b">
        <f t="shared" si="1"/>
        <v>0</v>
      </c>
    </row>
    <row r="11" spans="1:7" x14ac:dyDescent="0.3">
      <c r="A11" t="s">
        <v>42</v>
      </c>
      <c r="B11" t="s">
        <v>43</v>
      </c>
      <c r="C11" t="s">
        <v>44</v>
      </c>
    </row>
    <row r="12" spans="1:7" x14ac:dyDescent="0.3">
      <c r="A12" t="s">
        <v>10</v>
      </c>
      <c r="B12">
        <f ca="1">COUNTIFS($D:$D,"outlet-1",$F:$F,TRUE)</f>
        <v>3</v>
      </c>
      <c r="C12">
        <f ca="1">COUNTIFS($D:$D,"outlet-1",$G:$G,TRUE)</f>
        <v>1</v>
      </c>
      <c r="D12">
        <f ca="1">COUNTIFS(D:D,"outlet-1",F:F,TRUE)</f>
        <v>0</v>
      </c>
    </row>
    <row r="13" spans="1:7" x14ac:dyDescent="0.3">
      <c r="A13" t="s">
        <v>15</v>
      </c>
      <c r="B13">
        <f ca="1">COUNTIFS($D:$D,"outlet-2",$F:$F,TRUE)</f>
        <v>1</v>
      </c>
      <c r="C13">
        <f>COUNTIFS(D2:D9, A13, G2:G9, TRUE)</f>
        <v>1</v>
      </c>
      <c r="D13">
        <f ca="1">COUNTIFS(D:D,"outlet-2",F:F,TRUE)</f>
        <v>0</v>
      </c>
    </row>
    <row r="14" spans="1:7" x14ac:dyDescent="0.3">
      <c r="A14" t="s">
        <v>24</v>
      </c>
      <c r="B14">
        <f ca="1">COUNTIFS($D:$D,"outlet-3",$F:$F,TRUE)</f>
        <v>2</v>
      </c>
      <c r="C14">
        <f>COUNTIFS(D2:D9, A14, G2:G9, TRUE)</f>
        <v>1</v>
      </c>
      <c r="D14">
        <f ca="1">COUNTIFS(D:D,"outlet-3",F:F,TRUE)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4</v>
      </c>
      <c r="B1" t="s">
        <v>45</v>
      </c>
      <c r="C1" t="s">
        <v>46</v>
      </c>
      <c r="D1" t="s">
        <v>47</v>
      </c>
    </row>
    <row r="2" spans="1:4" x14ac:dyDescent="0.3">
      <c r="A2" t="s">
        <v>11</v>
      </c>
      <c r="B2" t="s">
        <v>48</v>
      </c>
      <c r="C2">
        <v>4</v>
      </c>
      <c r="D2" t="str">
        <f>INDEX(ticket!B:B, MATCH(A2, ticket!E:E, 0))</f>
        <v>2021-08-19 10:15:00</v>
      </c>
    </row>
    <row r="3" spans="1:4" x14ac:dyDescent="0.3">
      <c r="A3" t="s">
        <v>16</v>
      </c>
      <c r="B3" t="s">
        <v>49</v>
      </c>
      <c r="C3">
        <v>3</v>
      </c>
      <c r="D3" t="str">
        <f>INDEX(ticket!B:B, MATCH(A3, ticket!E:E, 0))</f>
        <v>2021-08-19 14:00:00</v>
      </c>
    </row>
    <row r="4" spans="1:4" x14ac:dyDescent="0.3">
      <c r="A4" t="s">
        <v>20</v>
      </c>
      <c r="B4" t="s">
        <v>50</v>
      </c>
      <c r="C4">
        <v>5</v>
      </c>
      <c r="D4" t="str">
        <f>INDEX(ticket!B:B, MATCH(A4, ticket!E:E, 0))</f>
        <v>2021-08-20 11:00:00</v>
      </c>
    </row>
    <row r="5" spans="1:4" x14ac:dyDescent="0.3">
      <c r="A5" t="s">
        <v>25</v>
      </c>
      <c r="B5" t="s">
        <v>51</v>
      </c>
      <c r="C5">
        <v>2</v>
      </c>
      <c r="D5" t="str">
        <f>INDEX(ticket!B:B, MATCH(A5, ticket!E:E, 0))</f>
        <v>2021-08-20 13:20:00</v>
      </c>
    </row>
    <row r="6" spans="1:4" x14ac:dyDescent="0.3">
      <c r="A6" t="s">
        <v>29</v>
      </c>
      <c r="B6" t="s">
        <v>31</v>
      </c>
      <c r="C6">
        <v>4</v>
      </c>
      <c r="D6" t="str">
        <f>INDEX(ticket!B:B, MATCH(A6, ticket!E:E, 0))</f>
        <v>2021-08-21 09:00:00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Suma Bhargav Reddy</cp:lastModifiedBy>
  <dcterms:created xsi:type="dcterms:W3CDTF">2026-04-09T05:25:17Z</dcterms:created>
  <dcterms:modified xsi:type="dcterms:W3CDTF">2026-04-09T05:40:12Z</dcterms:modified>
</cp:coreProperties>
</file>